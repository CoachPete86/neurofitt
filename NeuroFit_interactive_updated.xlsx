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Exercise Library" sheetId="2" state="visible" r:id="rId2"/>
    <sheet xmlns:r="http://schemas.openxmlformats.org/officeDocument/2006/relationships" name="Food List" sheetId="3" state="visible" r:id="rId3"/>
    <sheet xmlns:r="http://schemas.openxmlformats.org/officeDocument/2006/relationships" name="Meal Planner" sheetId="4" state="visible" r:id="rId4"/>
    <sheet xmlns:r="http://schemas.openxmlformats.org/officeDocument/2006/relationships" name="Weekly Planner" sheetId="5" state="visible" r:id="rId5"/>
    <sheet xmlns:r="http://schemas.openxmlformats.org/officeDocument/2006/relationships" name="Exercise Log" sheetId="6" state="visible" r:id="rId6"/>
    <sheet xmlns:r="http://schemas.openxmlformats.org/officeDocument/2006/relationships" name="Progress Dashboard" sheetId="7" state="visible" r:id="rId7"/>
    <sheet xmlns:r="http://schemas.openxmlformats.org/officeDocument/2006/relationships" name="Sample Week" sheetId="8" state="visible" r:id="rId8"/>
    <sheet xmlns:r="http://schemas.openxmlformats.org/officeDocument/2006/relationships" name="Macro Calculator" sheetId="9" state="visible" r:id="rId9"/>
    <sheet xmlns:r="http://schemas.openxmlformats.org/officeDocument/2006/relationships" name="Advanced Metrics" sheetId="10" state="visible" r:id="rId10"/>
    <sheet xmlns:r="http://schemas.openxmlformats.org/officeDocument/2006/relationships" name="Superset Builder" sheetId="11" state="visible" r:id="rId11"/>
    <sheet xmlns:r="http://schemas.openxmlformats.org/officeDocument/2006/relationships" name="Camp Templates" sheetId="12" state="visible" r:id="rId12"/>
    <sheet xmlns:r="http://schemas.openxmlformats.org/officeDocument/2006/relationships" name="Fight Week Run Sheet" sheetId="13" state="visible" r:id="rId13"/>
  </sheets>
  <definedNames>
    <definedName name="ExerciseList">'Exercise Library'!$A$2:$A$11</definedName>
    <definedName name="FoodList">'Food List'!$A$2:$A$11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color rgb="000000FF"/>
      <u val="single"/>
    </font>
    <font>
      <b val="1"/>
    </font>
    <font>
      <i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per Logged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'Exercise Log'!F1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'Exercise Log'!$A$2:$A$11</f>
            </numRef>
          </cat>
          <val>
            <numRef>
              <f>'Exercise Log'!$F$2:$F$11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Calorie Intake</a:t>
            </a:r>
          </a:p>
        </rich>
      </tx>
    </title>
    <plotArea>
      <lineChart>
        <grouping val="standard"/>
        <ser>
          <idx val="0"/>
          <order val="0"/>
          <tx>
            <strRef>
              <f>'Meal Planner'!G1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'Meal Planner'!$A$2:$A$8</f>
            </numRef>
          </cat>
          <val>
            <numRef>
              <f>'Meal Planner'!$G$2:$G$8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Calories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1" t="inlineStr">
        <is>
          <t>Welcome to NeuroFit</t>
        </is>
      </c>
    </row>
    <row r="3">
      <c r="A3" t="inlineStr">
        <is>
          <t>This workbook is your companion to the NeuroFit programme.  Use this sheet to understand how to use the tools effectively.</t>
        </is>
      </c>
    </row>
    <row r="5">
      <c r="A5" t="inlineStr">
        <is>
          <t>1. Start with the Sample Week sheet to see how to log your sessions.  Enter the date, choose exercises from the drop‑down lists and record sets, reps, weights and RPE.</t>
        </is>
      </c>
    </row>
    <row r="6">
      <c r="A6" t="inlineStr">
        <is>
          <t>2. Use the Macro Calculator sheet to determine your daily protein, carb and fat targets.  Then complete the Meal Split table below the calculator to distribute these macros across your meals.</t>
        </is>
      </c>
    </row>
    <row r="7">
      <c r="A7" t="inlineStr">
        <is>
          <t>3. The Weekly Planner sheet generates your workout plan.  Choose from standard or No‑Equipment Path variations.  Input your planned sets and reps; adjust as needed after each session.</t>
        </is>
      </c>
    </row>
    <row r="8">
      <c r="A8" t="inlineStr">
        <is>
          <t>4. The Superset Builder sheet helps you pair exercises for higher density sessions.  Select two movements from the drop‑down lists and specify sets, reps and rest.</t>
        </is>
      </c>
    </row>
    <row r="9">
      <c r="A9" t="inlineStr">
        <is>
          <t>5. Record actual training data in the Exercise Log.  The Advanced Metrics sheet automatically calculates estimated 1RM and volume; optional columns allow you to log velocity and power.</t>
        </is>
      </c>
    </row>
    <row r="10">
      <c r="A10" t="inlineStr">
        <is>
          <t>6. Review the Camp Templates for examples of eight‑, ten‑ and twelve‑week fight camps, and use the Fight Week Run Sheet for a final week checklist.</t>
        </is>
      </c>
    </row>
    <row r="12">
      <c r="A12" t="inlineStr">
        <is>
          <t>Need a walkthrough?  Scan the QR code in the Quick‑Start Guide or visit the link below:</t>
        </is>
      </c>
    </row>
    <row r="13">
      <c r="A13" s="2" t="inlineStr">
        <is>
          <t>https://example.com/quick-start-video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Exercise</t>
        </is>
      </c>
      <c r="B1" t="inlineStr">
        <is>
          <t>Category</t>
        </is>
      </c>
      <c r="C1" t="inlineStr">
        <is>
          <t>Muscle Group</t>
        </is>
      </c>
      <c r="D1" t="inlineStr">
        <is>
          <t>Difficulty</t>
        </is>
      </c>
      <c r="E1" t="inlineStr">
        <is>
          <t>Description</t>
        </is>
      </c>
    </row>
    <row r="2">
      <c r="A2" t="inlineStr">
        <is>
          <t>Bodyweight Squat</t>
        </is>
      </c>
      <c r="B2" t="inlineStr">
        <is>
          <t>Strength</t>
        </is>
      </c>
      <c r="C2" t="inlineStr">
        <is>
          <t>Lower Body</t>
        </is>
      </c>
      <c r="D2" t="inlineStr">
        <is>
          <t>Beginner</t>
        </is>
      </c>
      <c r="E2" t="inlineStr">
        <is>
          <t>Stand with feet shoulder-width, sit back and down, keep chest up, drive through heels.</t>
        </is>
      </c>
    </row>
    <row r="3">
      <c r="A3" t="inlineStr">
        <is>
          <t>Push-Up</t>
        </is>
      </c>
      <c r="B3" t="inlineStr">
        <is>
          <t>Strength</t>
        </is>
      </c>
      <c r="C3" t="inlineStr">
        <is>
          <t>Upper Body</t>
        </is>
      </c>
      <c r="D3" t="inlineStr">
        <is>
          <t>Beginner</t>
        </is>
      </c>
      <c r="E3" t="inlineStr">
        <is>
          <t>Start in plank, lower chest to floor keeping elbows close, push back up.</t>
        </is>
      </c>
    </row>
    <row r="4">
      <c r="A4" t="inlineStr">
        <is>
          <t>Lunge</t>
        </is>
      </c>
      <c r="B4" t="inlineStr">
        <is>
          <t>Strength</t>
        </is>
      </c>
      <c r="C4" t="inlineStr">
        <is>
          <t>Lower Body</t>
        </is>
      </c>
      <c r="D4" t="inlineStr">
        <is>
          <t>Beginner</t>
        </is>
      </c>
      <c r="E4" t="inlineStr">
        <is>
          <t>Step forward, lower hips until both knees are at 90 degrees, return to standing.</t>
        </is>
      </c>
    </row>
    <row r="5">
      <c r="A5" t="inlineStr">
        <is>
          <t>Bent-Over Row</t>
        </is>
      </c>
      <c r="B5" t="inlineStr">
        <is>
          <t>Strength</t>
        </is>
      </c>
      <c r="C5" t="inlineStr">
        <is>
          <t>Back</t>
        </is>
      </c>
      <c r="D5" t="inlineStr">
        <is>
          <t>Intermediate</t>
        </is>
      </c>
      <c r="E5" t="inlineStr">
        <is>
          <t>Hinge at hips, hold weights, pull toward torso, squeeze shoulder blades.</t>
        </is>
      </c>
    </row>
    <row r="6">
      <c r="A6" t="inlineStr">
        <is>
          <t>Plank</t>
        </is>
      </c>
      <c r="B6" t="inlineStr">
        <is>
          <t>Core</t>
        </is>
      </c>
      <c r="C6" t="inlineStr">
        <is>
          <t>Core</t>
        </is>
      </c>
      <c r="D6" t="inlineStr">
        <is>
          <t>Beginner</t>
        </is>
      </c>
      <c r="E6" t="inlineStr">
        <is>
          <t>Hold a straight line from head to heels, engage core and glutes.</t>
        </is>
      </c>
    </row>
    <row r="7">
      <c r="A7" t="inlineStr">
        <is>
          <t>Deadlift</t>
        </is>
      </c>
      <c r="B7" t="inlineStr">
        <is>
          <t>Strength</t>
        </is>
      </c>
      <c r="C7" t="inlineStr">
        <is>
          <t>Full Body</t>
        </is>
      </c>
      <c r="D7" t="inlineStr">
        <is>
          <t>Intermediate</t>
        </is>
      </c>
      <c r="E7" t="inlineStr">
        <is>
          <t>With barbell close to shins, hinge at hips, keep back flat, stand tall driving through heels.</t>
        </is>
      </c>
    </row>
    <row r="8">
      <c r="A8" t="inlineStr">
        <is>
          <t>Mountain Climbers</t>
        </is>
      </c>
      <c r="B8" t="inlineStr">
        <is>
          <t>Cardio</t>
        </is>
      </c>
      <c r="C8" t="inlineStr">
        <is>
          <t>Full Body</t>
        </is>
      </c>
      <c r="D8" t="inlineStr">
        <is>
          <t>Beginner</t>
        </is>
      </c>
      <c r="E8" t="inlineStr">
        <is>
          <t>Start in plank, alternate driving knees to chest rapidly.</t>
        </is>
      </c>
    </row>
    <row r="9">
      <c r="A9" t="inlineStr">
        <is>
          <t>Burpees</t>
        </is>
      </c>
      <c r="B9" t="inlineStr">
        <is>
          <t>Cardio</t>
        </is>
      </c>
      <c r="C9" t="inlineStr">
        <is>
          <t>Full Body</t>
        </is>
      </c>
      <c r="D9" t="inlineStr">
        <is>
          <t>Advanced</t>
        </is>
      </c>
      <c r="E9" t="inlineStr">
        <is>
          <t>Drop into squat, kick feet back to plank, return and jump explosively.</t>
        </is>
      </c>
    </row>
    <row r="10">
      <c r="A10" t="inlineStr">
        <is>
          <t>Glute Bridge</t>
        </is>
      </c>
      <c r="B10" t="inlineStr">
        <is>
          <t>Strength</t>
        </is>
      </c>
      <c r="C10" t="inlineStr">
        <is>
          <t>Lower Body</t>
        </is>
      </c>
      <c r="D10" t="inlineStr">
        <is>
          <t>Beginner</t>
        </is>
      </c>
      <c r="E10" t="inlineStr">
        <is>
          <t>Lie on back, bend knees, lift hips until knees/hips/shoulders align, squeeze glutes.</t>
        </is>
      </c>
    </row>
    <row r="11">
      <c r="A11" t="inlineStr">
        <is>
          <t>Overhead Press</t>
        </is>
      </c>
      <c r="B11" t="inlineStr">
        <is>
          <t>Strength</t>
        </is>
      </c>
      <c r="C11" t="inlineStr">
        <is>
          <t>Shoulders</t>
        </is>
      </c>
      <c r="D11" t="inlineStr">
        <is>
          <t>Intermediate</t>
        </is>
      </c>
      <c r="E11" t="inlineStr">
        <is>
          <t>Press weights overhead, keeping core engaged and back neutral.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Food Item</t>
        </is>
      </c>
      <c r="B1" t="inlineStr">
        <is>
          <t>Category</t>
        </is>
      </c>
      <c r="C1" t="inlineStr">
        <is>
          <t>Calories (kcal per 100g)</t>
        </is>
      </c>
      <c r="D1" t="inlineStr">
        <is>
          <t>Protein (g)</t>
        </is>
      </c>
      <c r="E1" t="inlineStr">
        <is>
          <t>Carbs (g)</t>
        </is>
      </c>
      <c r="F1" t="inlineStr">
        <is>
          <t>Fat (g)</t>
        </is>
      </c>
    </row>
    <row r="2">
      <c r="A2" t="inlineStr">
        <is>
          <t>Chicken Breast</t>
        </is>
      </c>
      <c r="B2" t="inlineStr">
        <is>
          <t>Protein</t>
        </is>
      </c>
      <c r="C2" t="n">
        <v>165</v>
      </c>
      <c r="D2" t="n">
        <v>31</v>
      </c>
      <c r="E2" t="n">
        <v>0</v>
      </c>
      <c r="F2" t="n">
        <v>3.6</v>
      </c>
    </row>
    <row r="3">
      <c r="A3" t="inlineStr">
        <is>
          <t>Salmon</t>
        </is>
      </c>
      <c r="B3" t="inlineStr">
        <is>
          <t>Protein</t>
        </is>
      </c>
      <c r="C3" t="n">
        <v>208</v>
      </c>
      <c r="D3" t="n">
        <v>20</v>
      </c>
      <c r="E3" t="n">
        <v>0</v>
      </c>
      <c r="F3" t="n">
        <v>13</v>
      </c>
    </row>
    <row r="4">
      <c r="A4" t="inlineStr">
        <is>
          <t>Brown Rice</t>
        </is>
      </c>
      <c r="B4" t="inlineStr">
        <is>
          <t>Carbohydrate</t>
        </is>
      </c>
      <c r="C4" t="n">
        <v>123</v>
      </c>
      <c r="D4" t="n">
        <v>2.5</v>
      </c>
      <c r="E4" t="n">
        <v>26</v>
      </c>
      <c r="F4" t="n">
        <v>1</v>
      </c>
    </row>
    <row r="5">
      <c r="A5" t="inlineStr">
        <is>
          <t>Sweet Potato</t>
        </is>
      </c>
      <c r="B5" t="inlineStr">
        <is>
          <t>Carbohydrate</t>
        </is>
      </c>
      <c r="C5" t="n">
        <v>86</v>
      </c>
      <c r="D5" t="n">
        <v>1.6</v>
      </c>
      <c r="E5" t="n">
        <v>20</v>
      </c>
      <c r="F5" t="n">
        <v>0.1</v>
      </c>
    </row>
    <row r="6">
      <c r="A6" t="inlineStr">
        <is>
          <t>Broccoli</t>
        </is>
      </c>
      <c r="B6" t="inlineStr">
        <is>
          <t>Vegetable</t>
        </is>
      </c>
      <c r="C6" t="n">
        <v>34</v>
      </c>
      <c r="D6" t="n">
        <v>2.8</v>
      </c>
      <c r="E6" t="n">
        <v>6.6</v>
      </c>
      <c r="F6" t="n">
        <v>0.4</v>
      </c>
    </row>
    <row r="7">
      <c r="A7" t="inlineStr">
        <is>
          <t>Spinach</t>
        </is>
      </c>
      <c r="B7" t="inlineStr">
        <is>
          <t>Vegetable</t>
        </is>
      </c>
      <c r="C7" t="n">
        <v>23</v>
      </c>
      <c r="D7" t="n">
        <v>2.9</v>
      </c>
      <c r="E7" t="n">
        <v>3.6</v>
      </c>
      <c r="F7" t="n">
        <v>0.4</v>
      </c>
    </row>
    <row r="8">
      <c r="A8" t="inlineStr">
        <is>
          <t>Almonds</t>
        </is>
      </c>
      <c r="B8" t="inlineStr">
        <is>
          <t>Healthy Fats</t>
        </is>
      </c>
      <c r="C8" t="n">
        <v>579</v>
      </c>
      <c r="D8" t="n">
        <v>21</v>
      </c>
      <c r="E8" t="n">
        <v>22</v>
      </c>
      <c r="F8" t="n">
        <v>50</v>
      </c>
    </row>
    <row r="9">
      <c r="A9" t="inlineStr">
        <is>
          <t>Avocado</t>
        </is>
      </c>
      <c r="B9" t="inlineStr">
        <is>
          <t>Healthy Fats</t>
        </is>
      </c>
      <c r="C9" t="n">
        <v>160</v>
      </c>
      <c r="D9" t="n">
        <v>2</v>
      </c>
      <c r="E9" t="n">
        <v>9</v>
      </c>
      <c r="F9" t="n">
        <v>15</v>
      </c>
    </row>
    <row r="10">
      <c r="A10" t="inlineStr">
        <is>
          <t>Greek Yogurt</t>
        </is>
      </c>
      <c r="B10" t="inlineStr">
        <is>
          <t>Protein</t>
        </is>
      </c>
      <c r="C10" t="n">
        <v>59</v>
      </c>
      <c r="D10" t="n">
        <v>10</v>
      </c>
      <c r="E10" t="n">
        <v>3.6</v>
      </c>
      <c r="F10" t="n">
        <v>0.4</v>
      </c>
    </row>
    <row r="11">
      <c r="A11" t="inlineStr">
        <is>
          <t>Oats</t>
        </is>
      </c>
      <c r="B11" t="inlineStr">
        <is>
          <t>Carbohydrate</t>
        </is>
      </c>
      <c r="C11" t="n">
        <v>389</v>
      </c>
      <c r="D11" t="n">
        <v>17</v>
      </c>
      <c r="E11" t="n">
        <v>66</v>
      </c>
      <c r="F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Day</t>
        </is>
      </c>
      <c r="B1" t="inlineStr">
        <is>
          <t>Breakfast</t>
        </is>
      </c>
      <c r="C1" t="inlineStr">
        <is>
          <t>Snack 1</t>
        </is>
      </c>
      <c r="D1" t="inlineStr">
        <is>
          <t>Lunch</t>
        </is>
      </c>
      <c r="E1" t="inlineStr">
        <is>
          <t>Snack 2</t>
        </is>
      </c>
      <c r="F1" t="inlineStr">
        <is>
          <t>Dinner</t>
        </is>
      </c>
      <c r="G1" t="inlineStr">
        <is>
          <t>Calories</t>
        </is>
      </c>
      <c r="H1" t="inlineStr">
        <is>
          <t>Protein (g)</t>
        </is>
      </c>
      <c r="I1" t="inlineStr">
        <is>
          <t>Carbs (g)</t>
        </is>
      </c>
      <c r="J1" t="inlineStr">
        <is>
          <t>Fat (g)</t>
        </is>
      </c>
    </row>
    <row r="2">
      <c r="A2" t="inlineStr">
        <is>
          <t>Monday</t>
        </is>
      </c>
      <c r="G2">
        <f>IF(B2="",0,VLOOKUP(B2,'Food List'!$A$2:$F$11,3,FALSE))+IF(C2="",0,VLOOKUP(C2,'Food List'!$A$2:$F$11,3,FALSE))+IF(D2="",0,VLOOKUP(D2,'Food List'!$A$2:$F$11,3,FALSE))+IF(E2="",0,VLOOKUP(E2,'Food List'!$A$2:$F$11,3,FALSE))+IF(F2="",0,VLOOKUP(F2,'Food List'!$A$2:$F$11,3,FALSE))</f>
        <v/>
      </c>
      <c r="H2">
        <f>IF(B2="",0,VLOOKUP(B2,'Food List'!$A$2:$F$11,4,FALSE))+IF(C2="",0,VLOOKUP(C2,'Food List'!$A$2:$F$11,4,FALSE))+IF(D2="",0,VLOOKUP(D2,'Food List'!$A$2:$F$11,4,FALSE))+IF(E2="",0,VLOOKUP(E2,'Food List'!$A$2:$F$11,4,FALSE))+IF(F2="",0,VLOOKUP(F2,'Food List'!$A$2:$F$11,4,FALSE))</f>
        <v/>
      </c>
      <c r="I2">
        <f>IF(B2="",0,VLOOKUP(B2,'Food List'!$A$2:$F$11,5,FALSE))+IF(C2="",0,VLOOKUP(C2,'Food List'!$A$2:$F$11,5,FALSE))+IF(D2="",0,VLOOKUP(D2,'Food List'!$A$2:$F$11,5,FALSE))+IF(E2="",0,VLOOKUP(E2,'Food List'!$A$2:$F$11,5,FALSE))+IF(F2="",0,VLOOKUP(F2,'Food List'!$A$2:$F$11,5,FALSE))</f>
        <v/>
      </c>
      <c r="J2">
        <f>IF(B2="",0,VLOOKUP(B2,'Food List'!$A$2:$F$11,6,FALSE))+IF(C2="",0,VLOOKUP(C2,'Food List'!$A$2:$F$11,6,FALSE))+IF(D2="",0,VLOOKUP(D2,'Food List'!$A$2:$F$11,6,FALSE))+IF(E2="",0,VLOOKUP(E2,'Food List'!$A$2:$F$11,6,FALSE))+IF(F2="",0,VLOOKUP(F2,'Food List'!$A$2:$F$11,6,FALSE))</f>
        <v/>
      </c>
    </row>
    <row r="3">
      <c r="A3" t="inlineStr">
        <is>
          <t>Tuesday</t>
        </is>
      </c>
      <c r="G3">
        <f>IF(B3="",0,VLOOKUP(B3,'Food List'!$A$2:$F$11,3,FALSE))+IF(C3="",0,VLOOKUP(C3,'Food List'!$A$2:$F$11,3,FALSE))+IF(D3="",0,VLOOKUP(D3,'Food List'!$A$2:$F$11,3,FALSE))+IF(E3="",0,VLOOKUP(E3,'Food List'!$A$2:$F$11,3,FALSE))+IF(F3="",0,VLOOKUP(F3,'Food List'!$A$2:$F$11,3,FALSE))</f>
        <v/>
      </c>
      <c r="H3">
        <f>IF(B3="",0,VLOOKUP(B3,'Food List'!$A$2:$F$11,4,FALSE))+IF(C3="",0,VLOOKUP(C3,'Food List'!$A$2:$F$11,4,FALSE))+IF(D3="",0,VLOOKUP(D3,'Food List'!$A$2:$F$11,4,FALSE))+IF(E3="",0,VLOOKUP(E3,'Food List'!$A$2:$F$11,4,FALSE))+IF(F3="",0,VLOOKUP(F3,'Food List'!$A$2:$F$11,4,FALSE))</f>
        <v/>
      </c>
      <c r="I3">
        <f>IF(B3="",0,VLOOKUP(B3,'Food List'!$A$2:$F$11,5,FALSE))+IF(C3="",0,VLOOKUP(C3,'Food List'!$A$2:$F$11,5,FALSE))+IF(D3="",0,VLOOKUP(D3,'Food List'!$A$2:$F$11,5,FALSE))+IF(E3="",0,VLOOKUP(E3,'Food List'!$A$2:$F$11,5,FALSE))+IF(F3="",0,VLOOKUP(F3,'Food List'!$A$2:$F$11,5,FALSE))</f>
        <v/>
      </c>
      <c r="J3">
        <f>IF(B3="",0,VLOOKUP(B3,'Food List'!$A$2:$F$11,6,FALSE))+IF(C3="",0,VLOOKUP(C3,'Food List'!$A$2:$F$11,6,FALSE))+IF(D3="",0,VLOOKUP(D3,'Food List'!$A$2:$F$11,6,FALSE))+IF(E3="",0,VLOOKUP(E3,'Food List'!$A$2:$F$11,6,FALSE))+IF(F3="",0,VLOOKUP(F3,'Food List'!$A$2:$F$11,6,FALSE))</f>
        <v/>
      </c>
    </row>
    <row r="4">
      <c r="A4" t="inlineStr">
        <is>
          <t>Wednesday</t>
        </is>
      </c>
      <c r="G4">
        <f>IF(B4="",0,VLOOKUP(B4,'Food List'!$A$2:$F$11,3,FALSE))+IF(C4="",0,VLOOKUP(C4,'Food List'!$A$2:$F$11,3,FALSE))+IF(D4="",0,VLOOKUP(D4,'Food List'!$A$2:$F$11,3,FALSE))+IF(E4="",0,VLOOKUP(E4,'Food List'!$A$2:$F$11,3,FALSE))+IF(F4="",0,VLOOKUP(F4,'Food List'!$A$2:$F$11,3,FALSE))</f>
        <v/>
      </c>
      <c r="H4">
        <f>IF(B4="",0,VLOOKUP(B4,'Food List'!$A$2:$F$11,4,FALSE))+IF(C4="",0,VLOOKUP(C4,'Food List'!$A$2:$F$11,4,FALSE))+IF(D4="",0,VLOOKUP(D4,'Food List'!$A$2:$F$11,4,FALSE))+IF(E4="",0,VLOOKUP(E4,'Food List'!$A$2:$F$11,4,FALSE))+IF(F4="",0,VLOOKUP(F4,'Food List'!$A$2:$F$11,4,FALSE))</f>
        <v/>
      </c>
      <c r="I4">
        <f>IF(B4="",0,VLOOKUP(B4,'Food List'!$A$2:$F$11,5,FALSE))+IF(C4="",0,VLOOKUP(C4,'Food List'!$A$2:$F$11,5,FALSE))+IF(D4="",0,VLOOKUP(D4,'Food List'!$A$2:$F$11,5,FALSE))+IF(E4="",0,VLOOKUP(E4,'Food List'!$A$2:$F$11,5,FALSE))+IF(F4="",0,VLOOKUP(F4,'Food List'!$A$2:$F$11,5,FALSE))</f>
        <v/>
      </c>
      <c r="J4">
        <f>IF(B4="",0,VLOOKUP(B4,'Food List'!$A$2:$F$11,6,FALSE))+IF(C4="",0,VLOOKUP(C4,'Food List'!$A$2:$F$11,6,FALSE))+IF(D4="",0,VLOOKUP(D4,'Food List'!$A$2:$F$11,6,FALSE))+IF(E4="",0,VLOOKUP(E4,'Food List'!$A$2:$F$11,6,FALSE))+IF(F4="",0,VLOOKUP(F4,'Food List'!$A$2:$F$11,6,FALSE))</f>
        <v/>
      </c>
    </row>
    <row r="5">
      <c r="A5" t="inlineStr">
        <is>
          <t>Thursday</t>
        </is>
      </c>
      <c r="G5">
        <f>IF(B5="",0,VLOOKUP(B5,'Food List'!$A$2:$F$11,3,FALSE))+IF(C5="",0,VLOOKUP(C5,'Food List'!$A$2:$F$11,3,FALSE))+IF(D5="",0,VLOOKUP(D5,'Food List'!$A$2:$F$11,3,FALSE))+IF(E5="",0,VLOOKUP(E5,'Food List'!$A$2:$F$11,3,FALSE))+IF(F5="",0,VLOOKUP(F5,'Food List'!$A$2:$F$11,3,FALSE))</f>
        <v/>
      </c>
      <c r="H5">
        <f>IF(B5="",0,VLOOKUP(B5,'Food List'!$A$2:$F$11,4,FALSE))+IF(C5="",0,VLOOKUP(C5,'Food List'!$A$2:$F$11,4,FALSE))+IF(D5="",0,VLOOKUP(D5,'Food List'!$A$2:$F$11,4,FALSE))+IF(E5="",0,VLOOKUP(E5,'Food List'!$A$2:$F$11,4,FALSE))+IF(F5="",0,VLOOKUP(F5,'Food List'!$A$2:$F$11,4,FALSE))</f>
        <v/>
      </c>
      <c r="I5">
        <f>IF(B5="",0,VLOOKUP(B5,'Food List'!$A$2:$F$11,5,FALSE))+IF(C5="",0,VLOOKUP(C5,'Food List'!$A$2:$F$11,5,FALSE))+IF(D5="",0,VLOOKUP(D5,'Food List'!$A$2:$F$11,5,FALSE))+IF(E5="",0,VLOOKUP(E5,'Food List'!$A$2:$F$11,5,FALSE))+IF(F5="",0,VLOOKUP(F5,'Food List'!$A$2:$F$11,5,FALSE))</f>
        <v/>
      </c>
      <c r="J5">
        <f>IF(B5="",0,VLOOKUP(B5,'Food List'!$A$2:$F$11,6,FALSE))+IF(C5="",0,VLOOKUP(C5,'Food List'!$A$2:$F$11,6,FALSE))+IF(D5="",0,VLOOKUP(D5,'Food List'!$A$2:$F$11,6,FALSE))+IF(E5="",0,VLOOKUP(E5,'Food List'!$A$2:$F$11,6,FALSE))+IF(F5="",0,VLOOKUP(F5,'Food List'!$A$2:$F$11,6,FALSE))</f>
        <v/>
      </c>
    </row>
    <row r="6">
      <c r="A6" t="inlineStr">
        <is>
          <t>Friday</t>
        </is>
      </c>
      <c r="G6">
        <f>IF(B6="",0,VLOOKUP(B6,'Food List'!$A$2:$F$11,3,FALSE))+IF(C6="",0,VLOOKUP(C6,'Food List'!$A$2:$F$11,3,FALSE))+IF(D6="",0,VLOOKUP(D6,'Food List'!$A$2:$F$11,3,FALSE))+IF(E6="",0,VLOOKUP(E6,'Food List'!$A$2:$F$11,3,FALSE))+IF(F6="",0,VLOOKUP(F6,'Food List'!$A$2:$F$11,3,FALSE))</f>
        <v/>
      </c>
      <c r="H6">
        <f>IF(B6="",0,VLOOKUP(B6,'Food List'!$A$2:$F$11,4,FALSE))+IF(C6="",0,VLOOKUP(C6,'Food List'!$A$2:$F$11,4,FALSE))+IF(D6="",0,VLOOKUP(D6,'Food List'!$A$2:$F$11,4,FALSE))+IF(E6="",0,VLOOKUP(E6,'Food List'!$A$2:$F$11,4,FALSE))+IF(F6="",0,VLOOKUP(F6,'Food List'!$A$2:$F$11,4,FALSE))</f>
        <v/>
      </c>
      <c r="I6">
        <f>IF(B6="",0,VLOOKUP(B6,'Food List'!$A$2:$F$11,5,FALSE))+IF(C6="",0,VLOOKUP(C6,'Food List'!$A$2:$F$11,5,FALSE))+IF(D6="",0,VLOOKUP(D6,'Food List'!$A$2:$F$11,5,FALSE))+IF(E6="",0,VLOOKUP(E6,'Food List'!$A$2:$F$11,5,FALSE))+IF(F6="",0,VLOOKUP(F6,'Food List'!$A$2:$F$11,5,FALSE))</f>
        <v/>
      </c>
      <c r="J6">
        <f>IF(B6="",0,VLOOKUP(B6,'Food List'!$A$2:$F$11,6,FALSE))+IF(C6="",0,VLOOKUP(C6,'Food List'!$A$2:$F$11,6,FALSE))+IF(D6="",0,VLOOKUP(D6,'Food List'!$A$2:$F$11,6,FALSE))+IF(E6="",0,VLOOKUP(E6,'Food List'!$A$2:$F$11,6,FALSE))+IF(F6="",0,VLOOKUP(F6,'Food List'!$A$2:$F$11,6,FALSE))</f>
        <v/>
      </c>
    </row>
    <row r="7">
      <c r="A7" t="inlineStr">
        <is>
          <t>Saturday</t>
        </is>
      </c>
      <c r="G7">
        <f>IF(B7="",0,VLOOKUP(B7,'Food List'!$A$2:$F$11,3,FALSE))+IF(C7="",0,VLOOKUP(C7,'Food List'!$A$2:$F$11,3,FALSE))+IF(D7="",0,VLOOKUP(D7,'Food List'!$A$2:$F$11,3,FALSE))+IF(E7="",0,VLOOKUP(E7,'Food List'!$A$2:$F$11,3,FALSE))+IF(F7="",0,VLOOKUP(F7,'Food List'!$A$2:$F$11,3,FALSE))</f>
        <v/>
      </c>
      <c r="H7">
        <f>IF(B7="",0,VLOOKUP(B7,'Food List'!$A$2:$F$11,4,FALSE))+IF(C7="",0,VLOOKUP(C7,'Food List'!$A$2:$F$11,4,FALSE))+IF(D7="",0,VLOOKUP(D7,'Food List'!$A$2:$F$11,4,FALSE))+IF(E7="",0,VLOOKUP(E7,'Food List'!$A$2:$F$11,4,FALSE))+IF(F7="",0,VLOOKUP(F7,'Food List'!$A$2:$F$11,4,FALSE))</f>
        <v/>
      </c>
      <c r="I7">
        <f>IF(B7="",0,VLOOKUP(B7,'Food List'!$A$2:$F$11,5,FALSE))+IF(C7="",0,VLOOKUP(C7,'Food List'!$A$2:$F$11,5,FALSE))+IF(D7="",0,VLOOKUP(D7,'Food List'!$A$2:$F$11,5,FALSE))+IF(E7="",0,VLOOKUP(E7,'Food List'!$A$2:$F$11,5,FALSE))+IF(F7="",0,VLOOKUP(F7,'Food List'!$A$2:$F$11,5,FALSE))</f>
        <v/>
      </c>
      <c r="J7">
        <f>IF(B7="",0,VLOOKUP(B7,'Food List'!$A$2:$F$11,6,FALSE))+IF(C7="",0,VLOOKUP(C7,'Food List'!$A$2:$F$11,6,FALSE))+IF(D7="",0,VLOOKUP(D7,'Food List'!$A$2:$F$11,6,FALSE))+IF(E7="",0,VLOOKUP(E7,'Food List'!$A$2:$F$11,6,FALSE))+IF(F7="",0,VLOOKUP(F7,'Food List'!$A$2:$F$11,6,FALSE))</f>
        <v/>
      </c>
    </row>
    <row r="8">
      <c r="A8" t="inlineStr">
        <is>
          <t>Sunday</t>
        </is>
      </c>
      <c r="G8">
        <f>IF(B8="",0,VLOOKUP(B8,'Food List'!$A$2:$F$11,3,FALSE))+IF(C8="",0,VLOOKUP(C8,'Food List'!$A$2:$F$11,3,FALSE))+IF(D8="",0,VLOOKUP(D8,'Food List'!$A$2:$F$11,3,FALSE))+IF(E8="",0,VLOOKUP(E8,'Food List'!$A$2:$F$11,3,FALSE))+IF(F8="",0,VLOOKUP(F8,'Food List'!$A$2:$F$11,3,FALSE))</f>
        <v/>
      </c>
      <c r="H8">
        <f>IF(B8="",0,VLOOKUP(B8,'Food List'!$A$2:$F$11,4,FALSE))+IF(C8="",0,VLOOKUP(C8,'Food List'!$A$2:$F$11,4,FALSE))+IF(D8="",0,VLOOKUP(D8,'Food List'!$A$2:$F$11,4,FALSE))+IF(E8="",0,VLOOKUP(E8,'Food List'!$A$2:$F$11,4,FALSE))+IF(F8="",0,VLOOKUP(F8,'Food List'!$A$2:$F$11,4,FALSE))</f>
        <v/>
      </c>
      <c r="I8">
        <f>IF(B8="",0,VLOOKUP(B8,'Food List'!$A$2:$F$11,5,FALSE))+IF(C8="",0,VLOOKUP(C8,'Food List'!$A$2:$F$11,5,FALSE))+IF(D8="",0,VLOOKUP(D8,'Food List'!$A$2:$F$11,5,FALSE))+IF(E8="",0,VLOOKUP(E8,'Food List'!$A$2:$F$11,5,FALSE))+IF(F8="",0,VLOOKUP(F8,'Food List'!$A$2:$F$11,5,FALSE))</f>
        <v/>
      </c>
      <c r="J8">
        <f>IF(B8="",0,VLOOKUP(B8,'Food List'!$A$2:$F$11,6,FALSE))+IF(C8="",0,VLOOKUP(C8,'Food List'!$A$2:$F$11,6,FALSE))+IF(D8="",0,VLOOKUP(D8,'Food List'!$A$2:$F$11,6,FALSE))+IF(E8="",0,VLOOKUP(E8,'Food List'!$A$2:$F$11,6,FALSE))+IF(F8="",0,VLOOKUP(F8,'Food List'!$A$2:$F$11,6,FALSE))</f>
        <v/>
      </c>
    </row>
  </sheetData>
  <dataValidations count="1">
    <dataValidation sqref="B2 C2 D2 E2 F2 B3 C3 D3 E3 F3 B4 C4 D4 E4 F4 B5 C5 D5 E5 F5 B6 C6 D6 E6 F6 B7 C7 D7 E7 F7 B8 C8 D8 E8 F8" showErrorMessage="1" showInputMessage="1" allowBlank="1" type="list">
      <formula1>=FoodList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Date</t>
        </is>
      </c>
      <c r="B1" t="inlineStr">
        <is>
          <t>Exercise</t>
        </is>
      </c>
      <c r="C1" t="inlineStr">
        <is>
          <t>Sets</t>
        </is>
      </c>
      <c r="D1" t="inlineStr">
        <is>
          <t>Reps</t>
        </is>
      </c>
      <c r="E1" t="inlineStr">
        <is>
          <t>Weight (kg)</t>
        </is>
      </c>
      <c r="F1" t="inlineStr">
        <is>
          <t>Rest (s)</t>
        </is>
      </c>
      <c r="G1" t="inlineStr">
        <is>
          <t>RPE</t>
        </is>
      </c>
      <c r="H1" t="inlineStr">
        <is>
          <t>Total Volume</t>
        </is>
      </c>
      <c r="I1" t="inlineStr">
        <is>
          <t>Water Intake (L)</t>
        </is>
      </c>
      <c r="J1" t="inlineStr">
        <is>
          <t>Mood (1-5)</t>
        </is>
      </c>
      <c r="K1" t="inlineStr">
        <is>
          <t>Notes</t>
        </is>
      </c>
    </row>
    <row r="2">
      <c r="A2" t="inlineStr">
        <is>
          <t>2025-08-25</t>
        </is>
      </c>
      <c r="H2">
        <f>IF(AND(C2&lt;&gt;"",D2&lt;&gt;"",E2&lt;&gt;""),C2*D2*E2,0)</f>
        <v/>
      </c>
    </row>
    <row r="3">
      <c r="A3" t="inlineStr">
        <is>
          <t>2025-08-26</t>
        </is>
      </c>
      <c r="H3">
        <f>IF(AND(C3&lt;&gt;"",D3&lt;&gt;"",E3&lt;&gt;""),C3*D3*E3,0)</f>
        <v/>
      </c>
    </row>
    <row r="4">
      <c r="A4" t="inlineStr">
        <is>
          <t>2025-08-27</t>
        </is>
      </c>
      <c r="H4">
        <f>IF(AND(C4&lt;&gt;"",D4&lt;&gt;"",E4&lt;&gt;""),C4*D4*E4,0)</f>
        <v/>
      </c>
    </row>
    <row r="5">
      <c r="A5" t="inlineStr">
        <is>
          <t>2025-08-28</t>
        </is>
      </c>
      <c r="H5">
        <f>IF(AND(C5&lt;&gt;"",D5&lt;&gt;"",E5&lt;&gt;""),C5*D5*E5,0)</f>
        <v/>
      </c>
    </row>
    <row r="6">
      <c r="A6" t="inlineStr">
        <is>
          <t>2025-08-29</t>
        </is>
      </c>
      <c r="H6">
        <f>IF(AND(C6&lt;&gt;"",D6&lt;&gt;"",E6&lt;&gt;""),C6*D6*E6,0)</f>
        <v/>
      </c>
    </row>
    <row r="7">
      <c r="A7" t="inlineStr">
        <is>
          <t>2025-08-30</t>
        </is>
      </c>
      <c r="H7">
        <f>IF(AND(C7&lt;&gt;"",D7&lt;&gt;"",E7&lt;&gt;""),C7*D7*E7,0)</f>
        <v/>
      </c>
    </row>
    <row r="8">
      <c r="A8" t="inlineStr">
        <is>
          <t>2025-08-31</t>
        </is>
      </c>
      <c r="H8">
        <f>IF(AND(C8&lt;&gt;"",D8&lt;&gt;"",E8&lt;&gt;""),C8*D8*E8,0)</f>
        <v/>
      </c>
    </row>
  </sheetData>
  <conditionalFormatting sqref="I2:I8">
    <cfRule type="cellIs" priority="1" operator="lessThan" dxfId="0">
      <formula>2</formula>
    </cfRule>
  </conditionalFormatting>
  <dataValidations count="1">
    <dataValidation sqref="B2 B3 B4 B5 B6 B7 B8" showErrorMessage="1" showInputMessage="1" allowBlank="0" type="list">
      <formula1>=ExerciseList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Date</t>
        </is>
      </c>
      <c r="B1" t="inlineStr">
        <is>
          <t>Exercise</t>
        </is>
      </c>
      <c r="C1" t="inlineStr">
        <is>
          <t>Sets</t>
        </is>
      </c>
      <c r="D1" t="inlineStr">
        <is>
          <t>Reps</t>
        </is>
      </c>
      <c r="E1" t="inlineStr">
        <is>
          <t>Weight (kg)</t>
        </is>
      </c>
      <c r="F1" t="inlineStr">
        <is>
          <t>Volume</t>
        </is>
      </c>
      <c r="G1" t="inlineStr">
        <is>
          <t>Notes</t>
        </is>
      </c>
    </row>
    <row r="2">
      <c r="F2">
        <f>IF(AND(C2&lt;&gt;"",D2&lt;&gt;"",E2&lt;&gt;""),C2*D2*E2,0)</f>
        <v/>
      </c>
    </row>
    <row r="3">
      <c r="F3">
        <f>IF(AND(C3&lt;&gt;"",D3&lt;&gt;"",E3&lt;&gt;""),C3*D3*E3,0)</f>
        <v/>
      </c>
    </row>
    <row r="4">
      <c r="F4">
        <f>IF(AND(C4&lt;&gt;"",D4&lt;&gt;"",E4&lt;&gt;""),C4*D4*E4,0)</f>
        <v/>
      </c>
    </row>
    <row r="5">
      <c r="F5">
        <f>IF(AND(C5&lt;&gt;"",D5&lt;&gt;"",E5&lt;&gt;""),C5*D5*E5,0)</f>
        <v/>
      </c>
    </row>
    <row r="6">
      <c r="F6">
        <f>IF(AND(C6&lt;&gt;"",D6&lt;&gt;"",E6&lt;&gt;""),C6*D6*E6,0)</f>
        <v/>
      </c>
    </row>
    <row r="7">
      <c r="F7">
        <f>IF(AND(C7&lt;&gt;"",D7&lt;&gt;"",E7&lt;&gt;""),C7*D7*E7,0)</f>
        <v/>
      </c>
    </row>
    <row r="8">
      <c r="F8">
        <f>IF(AND(C8&lt;&gt;"",D8&lt;&gt;"",E8&lt;&gt;""),C8*D8*E8,0)</f>
        <v/>
      </c>
    </row>
    <row r="9">
      <c r="F9">
        <f>IF(AND(C9&lt;&gt;"",D9&lt;&gt;"",E9&lt;&gt;""),C9*D9*E9,0)</f>
        <v/>
      </c>
    </row>
    <row r="10">
      <c r="F10">
        <f>IF(AND(C10&lt;&gt;"",D10&lt;&gt;"",E10&lt;&gt;""),C10*D10*E10,0)</f>
        <v/>
      </c>
    </row>
    <row r="11">
      <c r="F11">
        <f>IF(AND(C11&lt;&gt;"",D11&lt;&gt;"",E11&lt;&gt;""),C11*D11*E11,0)</f>
        <v/>
      </c>
    </row>
  </sheetData>
  <dataValidations count="1">
    <dataValidation sqref="B2 B3 B4 B5 B6 B7 B8 B9 B10 B11" showErrorMessage="1" showInputMessage="1" allowBlank="0" type="list">
      <formula1>=ExerciseList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 Completed</t>
        </is>
      </c>
      <c r="B2">
        <f>COUNTA('Exercise Log'!B2:B11)</f>
        <v/>
      </c>
    </row>
    <row r="3">
      <c r="A3" t="inlineStr">
        <is>
          <t>Average Volume per Session</t>
        </is>
      </c>
      <c r="B3">
        <f>IF(B3=0,0,AVERAGE('Exercise Log'!F2:F11))</f>
        <v/>
      </c>
    </row>
    <row r="4">
      <c r="A4" t="inlineStr">
        <is>
          <t>Average Daily Calories</t>
        </is>
      </c>
      <c r="B4">
        <f>AVERAGE('Meal Planner'!G2:G8)</f>
        <v/>
      </c>
    </row>
    <row r="5">
      <c r="A5" t="inlineStr">
        <is>
          <t>Average Protein Intake (g)</t>
        </is>
      </c>
      <c r="B5">
        <f>AVERAGE('Meal Planner'!H2:H8)</f>
        <v/>
      </c>
    </row>
    <row r="6">
      <c r="A6" t="inlineStr">
        <is>
          <t>Average Carbs Intake (g)</t>
        </is>
      </c>
      <c r="B6">
        <f>AVERAGE('Meal Planner'!I2:I8)</f>
        <v/>
      </c>
    </row>
    <row r="7">
      <c r="A7" t="inlineStr">
        <is>
          <t>Average Fat Intake (g)</t>
        </is>
      </c>
      <c r="B7">
        <f>AVERAGE('Meal Planner'!J2:J8)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Exercise</t>
        </is>
      </c>
      <c r="D1" t="inlineStr">
        <is>
          <t>Sets</t>
        </is>
      </c>
      <c r="E1" t="inlineStr">
        <is>
          <t>Reps</t>
        </is>
      </c>
      <c r="F1" t="inlineStr">
        <is>
          <t>Weight</t>
        </is>
      </c>
      <c r="G1" t="inlineStr">
        <is>
          <t>Rest</t>
        </is>
      </c>
      <c r="H1" t="inlineStr">
        <is>
          <t>RPE</t>
        </is>
      </c>
      <c r="I1" t="inlineStr">
        <is>
          <t>Notes</t>
        </is>
      </c>
    </row>
    <row r="2">
      <c r="A2" t="inlineStr">
        <is>
          <t>2025-09-01</t>
        </is>
      </c>
      <c r="B2" t="inlineStr">
        <is>
          <t>Mon</t>
        </is>
      </c>
      <c r="C2" t="inlineStr">
        <is>
          <t>Goblet Squat</t>
        </is>
      </c>
      <c r="D2" t="n">
        <v>3</v>
      </c>
      <c r="E2" t="n">
        <v>10</v>
      </c>
      <c r="F2" t="n">
        <v>20</v>
      </c>
      <c r="G2" t="inlineStr">
        <is>
          <t>60s</t>
        </is>
      </c>
      <c r="H2" t="n">
        <v>7</v>
      </c>
      <c r="I2" t="inlineStr">
        <is>
          <t>Focus on form</t>
        </is>
      </c>
    </row>
    <row r="3">
      <c r="A3" t="inlineStr">
        <is>
          <t>2025-09-01</t>
        </is>
      </c>
      <c r="B3" t="inlineStr">
        <is>
          <t>Mon</t>
        </is>
      </c>
      <c r="C3" t="inlineStr">
        <is>
          <t>Push-Up</t>
        </is>
      </c>
      <c r="D3" t="n">
        <v>3</v>
      </c>
      <c r="E3" t="n">
        <v>10</v>
      </c>
      <c r="F3" t="inlineStr">
        <is>
          <t>BW</t>
        </is>
      </c>
      <c r="G3" t="inlineStr">
        <is>
          <t>60s</t>
        </is>
      </c>
      <c r="H3" t="n">
        <v>6</v>
      </c>
      <c r="I3" t="inlineStr">
        <is>
          <t>Knees down for easier version</t>
        </is>
      </c>
    </row>
    <row r="4">
      <c r="A4" t="inlineStr">
        <is>
          <t>2025-09-01</t>
        </is>
      </c>
      <c r="B4" t="inlineStr">
        <is>
          <t>Mon</t>
        </is>
      </c>
      <c r="C4" t="inlineStr">
        <is>
          <t>Dumbbell Row</t>
        </is>
      </c>
      <c r="D4" t="n">
        <v>3</v>
      </c>
      <c r="E4" t="n">
        <v>12</v>
      </c>
      <c r="F4" t="n">
        <v>12</v>
      </c>
      <c r="G4" t="inlineStr">
        <is>
          <t>60s</t>
        </is>
      </c>
      <c r="H4" t="n">
        <v>7</v>
      </c>
    </row>
    <row r="5">
      <c r="A5" t="inlineStr">
        <is>
          <t>2025-09-02</t>
        </is>
      </c>
      <c r="B5" t="inlineStr">
        <is>
          <t>Tue</t>
        </is>
      </c>
      <c r="C5" t="inlineStr">
        <is>
          <t>Reverse Lunge</t>
        </is>
      </c>
      <c r="D5" t="n">
        <v>3</v>
      </c>
      <c r="E5" t="n">
        <v>12</v>
      </c>
      <c r="F5" t="n">
        <v>10</v>
      </c>
      <c r="G5" t="inlineStr">
        <is>
          <t>60s</t>
        </is>
      </c>
      <c r="H5" t="n">
        <v>7</v>
      </c>
    </row>
    <row r="6">
      <c r="A6" t="inlineStr">
        <is>
          <t>2025-09-02</t>
        </is>
      </c>
      <c r="B6" t="inlineStr">
        <is>
          <t>Tue</t>
        </is>
      </c>
      <c r="C6" t="inlineStr">
        <is>
          <t>Floor Press</t>
        </is>
      </c>
      <c r="D6" t="n">
        <v>3</v>
      </c>
      <c r="E6" t="n">
        <v>10</v>
      </c>
      <c r="F6" t="n">
        <v>14</v>
      </c>
      <c r="G6" t="inlineStr">
        <is>
          <t>60s</t>
        </is>
      </c>
      <c r="H6" t="n">
        <v>6</v>
      </c>
    </row>
    <row r="7">
      <c r="A7" t="inlineStr">
        <is>
          <t>2025-09-03</t>
        </is>
      </c>
      <c r="B7" t="inlineStr">
        <is>
          <t>Wed</t>
        </is>
      </c>
      <c r="C7" t="inlineStr">
        <is>
          <t>Romanian Deadlift</t>
        </is>
      </c>
      <c r="D7" t="n">
        <v>3</v>
      </c>
      <c r="E7" t="n">
        <v>10</v>
      </c>
      <c r="F7" t="n">
        <v>25</v>
      </c>
      <c r="G7" t="inlineStr">
        <is>
          <t>60s</t>
        </is>
      </c>
      <c r="H7" t="n">
        <v>8</v>
      </c>
      <c r="I7" t="inlineStr">
        <is>
          <t>Feel hamstrings working</t>
        </is>
      </c>
    </row>
    <row r="8">
      <c r="A8" t="inlineStr">
        <is>
          <t>2025-09-04</t>
        </is>
      </c>
      <c r="B8" t="inlineStr">
        <is>
          <t>Thu</t>
        </is>
      </c>
      <c r="C8" t="inlineStr">
        <is>
          <t>Conditioning Circuit</t>
        </is>
      </c>
      <c r="I8" t="inlineStr">
        <is>
          <t>30s skipping, 30s mountain climbers x4</t>
        </is>
      </c>
    </row>
    <row r="9">
      <c r="A9" t="inlineStr">
        <is>
          <t>2025-09-05</t>
        </is>
      </c>
      <c r="B9" t="inlineStr">
        <is>
          <t>Fri</t>
        </is>
      </c>
      <c r="C9" t="inlineStr">
        <is>
          <t>Mobility Flow</t>
        </is>
      </c>
      <c r="I9" t="inlineStr">
        <is>
          <t>World’s greatest stretch x5 each side, Cat-Cow x10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 your weight (kg)</t>
        </is>
      </c>
    </row>
    <row r="3">
      <c r="A3" t="inlineStr">
        <is>
          <t>Select Goal</t>
        </is>
      </c>
    </row>
    <row r="4">
      <c r="A4" t="inlineStr">
        <is>
          <t>Options: Maintenance, Fat Loss, Muscle Gain</t>
        </is>
      </c>
    </row>
    <row r="6">
      <c r="A6" t="inlineStr">
        <is>
          <t>Protein (g/day)</t>
        </is>
      </c>
      <c r="B6">
        <f>IF(B3="Fat Loss",B1*2,IF(B3="Maintenance",B1*2,IF(B3="Muscle Gain",B1*2,"")))</f>
        <v/>
      </c>
    </row>
    <row r="7">
      <c r="A7" t="inlineStr">
        <is>
          <t>Carbs (g/day)</t>
        </is>
      </c>
      <c r="B7">
        <f>IF(B3="Fat Loss",B1*2,IF(B3="Maintenance",B1*3,IF(B3="Muscle Gain",B1*5,"")))</f>
        <v/>
      </c>
    </row>
    <row r="8">
      <c r="A8" t="inlineStr">
        <is>
          <t>Fats (g/day)</t>
        </is>
      </c>
      <c r="B8">
        <f>IF(B3="Fat Loss",B1*0.8,IF(B3="Maintenance",B1*1,IF(B3="Muscle Gain",B1*1,"")))</f>
        <v/>
      </c>
    </row>
    <row r="9">
      <c r="A9" t="inlineStr">
        <is>
          <t>Estimated Calories</t>
        </is>
      </c>
      <c r="B9">
        <f>B6*4+B7*4+B8*9</f>
        <v/>
      </c>
    </row>
    <row r="11">
      <c r="A11" t="inlineStr">
        <is>
          <t>Note: Select goal exactly as listed in B3 and macros will calculate automatically.</t>
        </is>
      </c>
    </row>
    <row r="14">
      <c r="A14" s="3" t="inlineStr">
        <is>
          <t>Meal Split (enter decimal ratios that sum to 1.0)</t>
        </is>
      </c>
    </row>
    <row r="15">
      <c r="A15" s="3" t="inlineStr">
        <is>
          <t>Meal</t>
        </is>
      </c>
      <c r="B15" s="3" t="inlineStr">
        <is>
          <t>Ratio</t>
        </is>
      </c>
      <c r="C15" s="3" t="inlineStr">
        <is>
          <t>Protein (g)</t>
        </is>
      </c>
      <c r="D15" s="3" t="inlineStr">
        <is>
          <t>Carbs (g)</t>
        </is>
      </c>
      <c r="E15" s="3" t="inlineStr">
        <is>
          <t>Fats (g)</t>
        </is>
      </c>
      <c r="F15" s="3" t="inlineStr">
        <is>
          <t>Calories (kcal)</t>
        </is>
      </c>
    </row>
    <row r="16">
      <c r="A16" t="inlineStr">
        <is>
          <t>Meal 1</t>
        </is>
      </c>
      <c r="B16" t="n">
        <v>0.25</v>
      </c>
      <c r="C16">
        <f>$B$6*B16</f>
        <v/>
      </c>
      <c r="D16">
        <f>$B$7*B16</f>
        <v/>
      </c>
      <c r="E16">
        <f>$B$8*B16</f>
        <v/>
      </c>
      <c r="F16">
        <f>C16*4+D16*4+E16*9</f>
        <v/>
      </c>
    </row>
    <row r="17">
      <c r="A17" t="inlineStr">
        <is>
          <t>Meal 2</t>
        </is>
      </c>
      <c r="B17" t="n">
        <v>0.25</v>
      </c>
      <c r="C17">
        <f>$B$6*B17</f>
        <v/>
      </c>
      <c r="D17">
        <f>$B$7*B17</f>
        <v/>
      </c>
      <c r="E17">
        <f>$B$8*B17</f>
        <v/>
      </c>
      <c r="F17">
        <f>C17*4+D17*4+E17*9</f>
        <v/>
      </c>
    </row>
    <row r="18">
      <c r="A18" t="inlineStr">
        <is>
          <t>Meal 3</t>
        </is>
      </c>
      <c r="B18" t="n">
        <v>0.25</v>
      </c>
      <c r="C18">
        <f>$B$6*B18</f>
        <v/>
      </c>
      <c r="D18">
        <f>$B$7*B18</f>
        <v/>
      </c>
      <c r="E18">
        <f>$B$8*B18</f>
        <v/>
      </c>
      <c r="F18">
        <f>C18*4+D18*4+E18*9</f>
        <v/>
      </c>
    </row>
    <row r="19">
      <c r="A19" t="inlineStr">
        <is>
          <t>Meal 4</t>
        </is>
      </c>
      <c r="B19" t="n">
        <v>0.25</v>
      </c>
      <c r="C19">
        <f>$B$6*B19</f>
        <v/>
      </c>
      <c r="D19">
        <f>$B$7*B19</f>
        <v/>
      </c>
      <c r="E19">
        <f>$B$8*B19</f>
        <v/>
      </c>
      <c r="F19">
        <f>C19*4+D19*4+E19*9</f>
        <v/>
      </c>
    </row>
    <row r="20">
      <c r="A20" s="4" t="inlineStr">
        <is>
          <t>Ensure the sum of ratios equals 1.0 (100 %).  Adjust the ratios to suit your meal pattern.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Exercise</t>
        </is>
      </c>
      <c r="C1" t="inlineStr">
        <is>
          <t>Weight</t>
        </is>
      </c>
      <c r="D1" t="inlineStr">
        <is>
          <t>Reps</t>
        </is>
      </c>
      <c r="E1" t="inlineStr">
        <is>
          <t>Sets</t>
        </is>
      </c>
      <c r="F1" t="inlineStr">
        <is>
          <t>Estimated 1RM</t>
        </is>
      </c>
      <c r="G1" t="inlineStr">
        <is>
          <t>Volume</t>
        </is>
      </c>
      <c r="H1" t="inlineStr">
        <is>
          <t>RPE</t>
        </is>
      </c>
      <c r="I1" s="3" t="inlineStr">
        <is>
          <t>Velocity (m/s)</t>
        </is>
      </c>
      <c r="J1" s="3" t="inlineStr">
        <is>
          <t>Power (W)</t>
        </is>
      </c>
      <c r="K1" t="inlineStr">
        <is>
          <t>Comments</t>
        </is>
      </c>
    </row>
    <row r="2">
      <c r="A2" t="inlineStr">
        <is>
          <t>2025-09-01</t>
        </is>
      </c>
      <c r="B2" t="inlineStr">
        <is>
          <t>Deadlift</t>
        </is>
      </c>
      <c r="C2" t="n">
        <v>100</v>
      </c>
      <c r="D2" t="n">
        <v>5</v>
      </c>
      <c r="E2" t="n">
        <v>5</v>
      </c>
      <c r="F2">
        <f>C2*(1+D2/30)</f>
        <v/>
      </c>
      <c r="G2">
        <f>C2*D2*E2</f>
        <v/>
      </c>
      <c r="H2" t="n">
        <v>8</v>
      </c>
      <c r="I2" t="inlineStr"/>
      <c r="J2" t="inlineStr"/>
    </row>
    <row r="3">
      <c r="A3" t="inlineStr">
        <is>
          <t>2025-09-03</t>
        </is>
      </c>
      <c r="B3" t="inlineStr">
        <is>
          <t>Bench Press</t>
        </is>
      </c>
      <c r="C3" t="n">
        <v>60</v>
      </c>
      <c r="D3" t="n">
        <v>8</v>
      </c>
      <c r="E3" t="n">
        <v>4</v>
      </c>
      <c r="F3">
        <f>C3*(1+D3/30)</f>
        <v/>
      </c>
      <c r="G3">
        <f>C3*D3*E3</f>
        <v/>
      </c>
      <c r="H3" t="n">
        <v>7</v>
      </c>
      <c r="I3" t="inlineStr"/>
      <c r="J3" t="inlineStr"/>
    </row>
    <row r="4"/>
    <row r="5"/>
    <row r="6"/>
    <row r="7"/>
    <row r="8"/>
    <row r="9"/>
    <row r="10"/>
    <row r="11"/>
    <row r="12"/>
    <row r="13">
      <c r="A13" t="inlineStr">
        <is>
          <t>Instructions:</t>
        </is>
      </c>
      <c r="I13" t="inlineStr"/>
      <c r="J13" t="inlineStr"/>
    </row>
    <row r="14">
      <c r="A14" t="inlineStr">
        <is>
          <t>Fill in each row with your date, exercise, weight, reps, sets and perceived exertion.</t>
        </is>
      </c>
      <c r="I14" t="inlineStr"/>
      <c r="J14" t="inlineStr"/>
    </row>
    <row r="15">
      <c r="A15" t="inlineStr">
        <is>
          <t>The columns Estimated 1RM and Volume compute automatically using the Epley formula (weight*(1+reps/30)) and volume (weight*reps*sets).</t>
        </is>
      </c>
      <c r="I15" t="inlineStr"/>
      <c r="J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Superset #</t>
        </is>
      </c>
      <c r="B1" s="3" t="inlineStr">
        <is>
          <t>Exercise A</t>
        </is>
      </c>
      <c r="C1" s="3" t="inlineStr">
        <is>
          <t>Exercise B</t>
        </is>
      </c>
      <c r="D1" s="3" t="inlineStr">
        <is>
          <t>Sets</t>
        </is>
      </c>
      <c r="E1" s="3" t="inlineStr">
        <is>
          <t>Reps</t>
        </is>
      </c>
      <c r="F1" s="3" t="inlineStr">
        <is>
          <t>Rest (s)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dataValidations count="1">
    <dataValidation sqref="B2:B11 C2:C11" showErrorMessage="1" showInputMessage="1" allowBlank="1" type="list">
      <formula1>'Exercise Library'!$A$2:$A$100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4" customWidth="1" min="4" max="4"/>
  </cols>
  <sheetData>
    <row r="1">
      <c r="A1" s="5" t="inlineStr">
        <is>
          <t>Fight Camp Templates</t>
        </is>
      </c>
    </row>
    <row r="3">
      <c r="A3" t="inlineStr">
        <is>
          <t>These templates outline typical phase structures for 8‑, 10‑ and 12‑week fight camps.  Adjust as needed for your event date.</t>
        </is>
      </c>
    </row>
    <row r="5">
      <c r="A5" s="6" t="inlineStr">
        <is>
          <t>8‑Week Camp</t>
        </is>
      </c>
    </row>
    <row r="6">
      <c r="A6" s="3" t="inlineStr">
        <is>
          <t>Week</t>
        </is>
      </c>
      <c r="B6" s="3" t="inlineStr">
        <is>
          <t>Phase</t>
        </is>
      </c>
      <c r="C6" s="3" t="inlineStr">
        <is>
          <t>S&amp;C : Skill : Conditioning Ratio</t>
        </is>
      </c>
      <c r="D6" s="3" t="inlineStr">
        <is>
          <t>Target RPE Band</t>
        </is>
      </c>
    </row>
    <row r="7">
      <c r="A7" t="n">
        <v>1</v>
      </c>
      <c r="B7" t="inlineStr">
        <is>
          <t>Build</t>
        </is>
      </c>
      <c r="C7" t="inlineStr">
        <is>
          <t>40 : 30 : 30</t>
        </is>
      </c>
      <c r="D7" t="inlineStr">
        <is>
          <t>7–8</t>
        </is>
      </c>
    </row>
    <row r="8">
      <c r="A8" t="n">
        <v>2</v>
      </c>
      <c r="B8" t="inlineStr">
        <is>
          <t>Build</t>
        </is>
      </c>
      <c r="C8" t="inlineStr">
        <is>
          <t>40 : 30 : 30</t>
        </is>
      </c>
      <c r="D8" t="inlineStr">
        <is>
          <t>7–8</t>
        </is>
      </c>
    </row>
    <row r="9">
      <c r="A9" t="n">
        <v>3</v>
      </c>
      <c r="B9" t="inlineStr">
        <is>
          <t>Build</t>
        </is>
      </c>
      <c r="C9" t="inlineStr">
        <is>
          <t>40 : 30 : 30</t>
        </is>
      </c>
      <c r="D9" t="inlineStr">
        <is>
          <t>7–8</t>
        </is>
      </c>
    </row>
    <row r="10">
      <c r="A10" t="n">
        <v>4</v>
      </c>
      <c r="B10" t="inlineStr">
        <is>
          <t>Peak</t>
        </is>
      </c>
      <c r="C10" t="inlineStr">
        <is>
          <t>30 : 50 : 20</t>
        </is>
      </c>
      <c r="D10" t="inlineStr">
        <is>
          <t>8–9</t>
        </is>
      </c>
    </row>
    <row r="11">
      <c r="A11" t="n">
        <v>5</v>
      </c>
      <c r="B11" t="inlineStr">
        <is>
          <t>Peak</t>
        </is>
      </c>
      <c r="C11" t="inlineStr">
        <is>
          <t>30 : 50 : 20</t>
        </is>
      </c>
      <c r="D11" t="inlineStr">
        <is>
          <t>8–9</t>
        </is>
      </c>
    </row>
    <row r="12">
      <c r="A12" t="n">
        <v>6</v>
      </c>
      <c r="B12" t="inlineStr">
        <is>
          <t>Peak</t>
        </is>
      </c>
      <c r="C12" t="inlineStr">
        <is>
          <t>30 : 50 : 20</t>
        </is>
      </c>
      <c r="D12" t="inlineStr">
        <is>
          <t>8–9</t>
        </is>
      </c>
    </row>
    <row r="13">
      <c r="A13" t="n">
        <v>7</v>
      </c>
      <c r="B13" t="inlineStr">
        <is>
          <t>Taper</t>
        </is>
      </c>
      <c r="C13" t="inlineStr">
        <is>
          <t>20 : 50 : 30</t>
        </is>
      </c>
      <c r="D13" t="inlineStr">
        <is>
          <t>5–6</t>
        </is>
      </c>
    </row>
    <row r="14">
      <c r="A14" t="n">
        <v>8</v>
      </c>
      <c r="B14" t="inlineStr">
        <is>
          <t>Taper</t>
        </is>
      </c>
      <c r="C14" t="inlineStr">
        <is>
          <t>20 : 50 : 30</t>
        </is>
      </c>
      <c r="D14" t="inlineStr">
        <is>
          <t>5–6</t>
        </is>
      </c>
    </row>
    <row r="17">
      <c r="A17" s="6" t="inlineStr">
        <is>
          <t>10‑Week Camp</t>
        </is>
      </c>
    </row>
    <row r="18">
      <c r="A18" s="3" t="inlineStr">
        <is>
          <t>Week</t>
        </is>
      </c>
      <c r="B18" s="3" t="inlineStr">
        <is>
          <t>Phase</t>
        </is>
      </c>
      <c r="C18" s="3" t="inlineStr">
        <is>
          <t>S&amp;C : Skill : Conditioning Ratio</t>
        </is>
      </c>
      <c r="D18" s="3" t="inlineStr">
        <is>
          <t>Target RPE Band</t>
        </is>
      </c>
    </row>
    <row r="19">
      <c r="A19" t="n">
        <v>1</v>
      </c>
      <c r="B19" t="inlineStr">
        <is>
          <t>Build</t>
        </is>
      </c>
      <c r="C19" t="inlineStr">
        <is>
          <t>40 : 30 : 30</t>
        </is>
      </c>
      <c r="D19" t="inlineStr">
        <is>
          <t>7–8</t>
        </is>
      </c>
    </row>
    <row r="20">
      <c r="A20" t="n">
        <v>2</v>
      </c>
      <c r="B20" t="inlineStr">
        <is>
          <t>Build</t>
        </is>
      </c>
      <c r="C20" t="inlineStr">
        <is>
          <t>40 : 30 : 30</t>
        </is>
      </c>
      <c r="D20" t="inlineStr">
        <is>
          <t>7–8</t>
        </is>
      </c>
    </row>
    <row r="21">
      <c r="A21" t="n">
        <v>3</v>
      </c>
      <c r="B21" t="inlineStr">
        <is>
          <t>Build</t>
        </is>
      </c>
      <c r="C21" t="inlineStr">
        <is>
          <t>40 : 30 : 30</t>
        </is>
      </c>
      <c r="D21" t="inlineStr">
        <is>
          <t>7–8</t>
        </is>
      </c>
    </row>
    <row r="22">
      <c r="A22" t="n">
        <v>4</v>
      </c>
      <c r="B22" t="inlineStr">
        <is>
          <t>Build</t>
        </is>
      </c>
      <c r="C22" t="inlineStr">
        <is>
          <t>40 : 30 : 30</t>
        </is>
      </c>
      <c r="D22" t="inlineStr">
        <is>
          <t>7–8</t>
        </is>
      </c>
    </row>
    <row r="23">
      <c r="A23" t="n">
        <v>5</v>
      </c>
      <c r="B23" t="inlineStr">
        <is>
          <t>Peak</t>
        </is>
      </c>
      <c r="C23" t="inlineStr">
        <is>
          <t>30 : 50 : 20</t>
        </is>
      </c>
      <c r="D23" t="inlineStr">
        <is>
          <t>8–9</t>
        </is>
      </c>
    </row>
    <row r="24">
      <c r="A24" t="n">
        <v>6</v>
      </c>
      <c r="B24" t="inlineStr">
        <is>
          <t>Peak</t>
        </is>
      </c>
      <c r="C24" t="inlineStr">
        <is>
          <t>30 : 50 : 20</t>
        </is>
      </c>
      <c r="D24" t="inlineStr">
        <is>
          <t>8–9</t>
        </is>
      </c>
    </row>
    <row r="25">
      <c r="A25" t="n">
        <v>7</v>
      </c>
      <c r="B25" t="inlineStr">
        <is>
          <t>Peak</t>
        </is>
      </c>
      <c r="C25" t="inlineStr">
        <is>
          <t>30 : 50 : 20</t>
        </is>
      </c>
      <c r="D25" t="inlineStr">
        <is>
          <t>8–9</t>
        </is>
      </c>
    </row>
    <row r="26">
      <c r="A26" t="n">
        <v>8</v>
      </c>
      <c r="B26" t="inlineStr">
        <is>
          <t>Peak</t>
        </is>
      </c>
      <c r="C26" t="inlineStr">
        <is>
          <t>30 : 50 : 20</t>
        </is>
      </c>
      <c r="D26" t="inlineStr">
        <is>
          <t>8–9</t>
        </is>
      </c>
    </row>
    <row r="27">
      <c r="A27" t="n">
        <v>9</v>
      </c>
      <c r="B27" t="inlineStr">
        <is>
          <t>Taper</t>
        </is>
      </c>
      <c r="C27" t="inlineStr">
        <is>
          <t>20 : 50 : 30</t>
        </is>
      </c>
      <c r="D27" t="inlineStr">
        <is>
          <t>5–6</t>
        </is>
      </c>
    </row>
    <row r="28">
      <c r="A28" t="n">
        <v>10</v>
      </c>
      <c r="B28" t="inlineStr">
        <is>
          <t>Taper</t>
        </is>
      </c>
      <c r="C28" t="inlineStr">
        <is>
          <t>20 : 50 : 30</t>
        </is>
      </c>
      <c r="D28" t="inlineStr">
        <is>
          <t>5–6</t>
        </is>
      </c>
    </row>
    <row r="31">
      <c r="A31" s="6" t="inlineStr">
        <is>
          <t>12‑Week Camp</t>
        </is>
      </c>
    </row>
    <row r="32">
      <c r="A32" s="3" t="inlineStr">
        <is>
          <t>Week</t>
        </is>
      </c>
      <c r="B32" s="3" t="inlineStr">
        <is>
          <t>Phase</t>
        </is>
      </c>
      <c r="C32" s="3" t="inlineStr">
        <is>
          <t>S&amp;C : Skill : Conditioning Ratio</t>
        </is>
      </c>
      <c r="D32" s="3" t="inlineStr">
        <is>
          <t>Target RPE Band</t>
        </is>
      </c>
    </row>
    <row r="33">
      <c r="A33" t="n">
        <v>1</v>
      </c>
      <c r="B33" t="inlineStr">
        <is>
          <t>Build</t>
        </is>
      </c>
      <c r="C33" t="inlineStr">
        <is>
          <t>40 : 30 : 30</t>
        </is>
      </c>
      <c r="D33" t="inlineStr">
        <is>
          <t>7–8</t>
        </is>
      </c>
    </row>
    <row r="34">
      <c r="A34" t="n">
        <v>2</v>
      </c>
      <c r="B34" t="inlineStr">
        <is>
          <t>Build</t>
        </is>
      </c>
      <c r="C34" t="inlineStr">
        <is>
          <t>40 : 30 : 30</t>
        </is>
      </c>
      <c r="D34" t="inlineStr">
        <is>
          <t>7–8</t>
        </is>
      </c>
    </row>
    <row r="35">
      <c r="A35" t="n">
        <v>3</v>
      </c>
      <c r="B35" t="inlineStr">
        <is>
          <t>Build</t>
        </is>
      </c>
      <c r="C35" t="inlineStr">
        <is>
          <t>40 : 30 : 30</t>
        </is>
      </c>
      <c r="D35" t="inlineStr">
        <is>
          <t>7–8</t>
        </is>
      </c>
    </row>
    <row r="36">
      <c r="A36" t="n">
        <v>4</v>
      </c>
      <c r="B36" t="inlineStr">
        <is>
          <t>Build</t>
        </is>
      </c>
      <c r="C36" t="inlineStr">
        <is>
          <t>40 : 30 : 30</t>
        </is>
      </c>
      <c r="D36" t="inlineStr">
        <is>
          <t>7–8</t>
        </is>
      </c>
    </row>
    <row r="37">
      <c r="A37" t="n">
        <v>5</v>
      </c>
      <c r="B37" t="inlineStr">
        <is>
          <t>Build</t>
        </is>
      </c>
      <c r="C37" t="inlineStr">
        <is>
          <t>40 : 30 : 30</t>
        </is>
      </c>
      <c r="D37" t="inlineStr">
        <is>
          <t>7–8</t>
        </is>
      </c>
    </row>
    <row r="38">
      <c r="A38" t="n">
        <v>6</v>
      </c>
      <c r="B38" t="inlineStr">
        <is>
          <t>Peak</t>
        </is>
      </c>
      <c r="C38" t="inlineStr">
        <is>
          <t>30 : 50 : 20</t>
        </is>
      </c>
      <c r="D38" t="inlineStr">
        <is>
          <t>8–9</t>
        </is>
      </c>
    </row>
    <row r="39">
      <c r="A39" t="n">
        <v>7</v>
      </c>
      <c r="B39" t="inlineStr">
        <is>
          <t>Peak</t>
        </is>
      </c>
      <c r="C39" t="inlineStr">
        <is>
          <t>30 : 50 : 20</t>
        </is>
      </c>
      <c r="D39" t="inlineStr">
        <is>
          <t>8–9</t>
        </is>
      </c>
    </row>
    <row r="40">
      <c r="A40" t="n">
        <v>8</v>
      </c>
      <c r="B40" t="inlineStr">
        <is>
          <t>Peak</t>
        </is>
      </c>
      <c r="C40" t="inlineStr">
        <is>
          <t>30 : 50 : 20</t>
        </is>
      </c>
      <c r="D40" t="inlineStr">
        <is>
          <t>8–9</t>
        </is>
      </c>
    </row>
    <row r="41">
      <c r="A41" t="n">
        <v>9</v>
      </c>
      <c r="B41" t="inlineStr">
        <is>
          <t>Peak</t>
        </is>
      </c>
      <c r="C41" t="inlineStr">
        <is>
          <t>30 : 50 : 20</t>
        </is>
      </c>
      <c r="D41" t="inlineStr">
        <is>
          <t>8–9</t>
        </is>
      </c>
    </row>
    <row r="42">
      <c r="A42" t="n">
        <v>10</v>
      </c>
      <c r="B42" t="inlineStr">
        <is>
          <t>Peak</t>
        </is>
      </c>
      <c r="C42" t="inlineStr">
        <is>
          <t>30 : 50 : 20</t>
        </is>
      </c>
      <c r="D42" t="inlineStr">
        <is>
          <t>8–9</t>
        </is>
      </c>
    </row>
    <row r="43">
      <c r="A43" t="n">
        <v>11</v>
      </c>
      <c r="B43" t="inlineStr">
        <is>
          <t>Taper</t>
        </is>
      </c>
      <c r="C43" t="inlineStr">
        <is>
          <t>20 : 50 : 30</t>
        </is>
      </c>
      <c r="D43" t="inlineStr">
        <is>
          <t>5–6</t>
        </is>
      </c>
    </row>
    <row r="44">
      <c r="A44" t="n">
        <v>12</v>
      </c>
      <c r="B44" t="inlineStr">
        <is>
          <t>Taper</t>
        </is>
      </c>
      <c r="C44" t="inlineStr">
        <is>
          <t>20 : 50 : 30</t>
        </is>
      </c>
      <c r="D44" t="inlineStr">
        <is>
          <t>5–6</t>
        </is>
      </c>
    </row>
  </sheetData>
  <mergeCells count="3">
    <mergeCell ref="A5:D5"/>
    <mergeCell ref="A17:D17"/>
    <mergeCell ref="A31:D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</cols>
  <sheetData>
    <row r="1">
      <c r="A1" s="5" t="inlineStr">
        <is>
          <t>Fight Week Run Sheet</t>
        </is>
      </c>
    </row>
    <row r="3">
      <c r="A3" t="inlineStr">
        <is>
          <t>Use this checklist to stay organised during the final seven days before your bout.</t>
        </is>
      </c>
    </row>
    <row r="5">
      <c r="A5" s="3" t="inlineStr">
        <is>
          <t>Day</t>
        </is>
      </c>
      <c r="B5" s="3" t="inlineStr">
        <is>
          <t>Morning</t>
        </is>
      </c>
      <c r="C5" s="3" t="inlineStr">
        <is>
          <t>Afternoon</t>
        </is>
      </c>
      <c r="D5" s="3" t="inlineStr">
        <is>
          <t>Evening</t>
        </is>
      </c>
    </row>
    <row r="6">
      <c r="A6" t="inlineStr">
        <is>
          <t>-7 (Sat)</t>
        </is>
      </c>
      <c r="B6" t="inlineStr">
        <is>
          <t>Light spar &amp; pad work, review game plan</t>
        </is>
      </c>
      <c r="C6" t="inlineStr">
        <is>
          <t>Stretch &amp; mobility, pack kit bag</t>
        </is>
      </c>
      <c r="D6" t="inlineStr">
        <is>
          <t>Meal prep, meditate</t>
        </is>
      </c>
    </row>
    <row r="7">
      <c r="A7" t="inlineStr">
        <is>
          <t>-6 (Sun)</t>
        </is>
      </c>
      <c r="B7" t="inlineStr">
        <is>
          <t>Rest day, long walk</t>
        </is>
      </c>
      <c r="C7" t="inlineStr">
        <is>
          <t>Sauna or hot bath, breathing practice</t>
        </is>
      </c>
      <c r="D7" t="inlineStr">
        <is>
          <t>Visualisation &amp; journal</t>
        </is>
      </c>
    </row>
    <row r="8">
      <c r="A8" t="inlineStr">
        <is>
          <t>-5 (Mon)</t>
        </is>
      </c>
      <c r="B8" t="inlineStr">
        <is>
          <t>Technique session &amp; mitt work</t>
        </is>
      </c>
      <c r="C8" t="inlineStr">
        <is>
          <t>Strength maintainers (light)</t>
        </is>
      </c>
      <c r="D8" t="inlineStr">
        <is>
          <t>Watch tape, early bed</t>
        </is>
      </c>
    </row>
    <row r="9">
      <c r="A9" t="inlineStr">
        <is>
          <t>-4 (Tue)</t>
        </is>
      </c>
      <c r="B9" t="inlineStr">
        <is>
          <t>Medium conditioning, cut sodium &amp; fibre</t>
        </is>
      </c>
      <c r="C9" t="inlineStr">
        <is>
          <t>Pad work, breathing drills</t>
        </is>
      </c>
      <c r="D9" t="inlineStr">
        <is>
          <t>Check travel &amp; weigh‑in logistics</t>
        </is>
      </c>
    </row>
    <row r="10">
      <c r="A10" t="inlineStr">
        <is>
          <t>-3 (Wed)</t>
        </is>
      </c>
      <c r="B10" t="inlineStr">
        <is>
          <t>Short high‑intensity intervals</t>
        </is>
      </c>
      <c r="C10" t="inlineStr">
        <is>
          <t>Stretch &amp; mobility, final spar</t>
        </is>
      </c>
      <c r="D10" t="inlineStr">
        <is>
          <t>Mental rehearsal, pack snacks</t>
        </is>
      </c>
    </row>
    <row r="11">
      <c r="A11" t="inlineStr">
        <is>
          <t>-2 (Thu)</t>
        </is>
      </c>
      <c r="B11" t="inlineStr">
        <is>
          <t>Light shake‑out, weigh‑in check</t>
        </is>
      </c>
      <c r="C11" t="inlineStr">
        <is>
          <t>Sign off on weight cut, hydrate</t>
        </is>
      </c>
      <c r="D11" t="inlineStr">
        <is>
          <t>Sleep &amp; relax</t>
        </is>
      </c>
    </row>
    <row r="12">
      <c r="A12" t="inlineStr">
        <is>
          <t>-1 (Fri)</t>
        </is>
      </c>
      <c r="B12" t="inlineStr">
        <is>
          <t>Weigh‑in, rehydrate following protocol</t>
        </is>
      </c>
      <c r="C12" t="inlineStr">
        <is>
          <t>Rest and eat, mobility flow</t>
        </is>
      </c>
      <c r="D12" t="inlineStr">
        <is>
          <t>Game plan review, early night</t>
        </is>
      </c>
    </row>
    <row r="13">
      <c r="A13" t="inlineStr">
        <is>
          <t>0 (Fight Day)</t>
        </is>
      </c>
      <c r="B13" t="inlineStr">
        <is>
          <t>Light mobility &amp; shadow boxing</t>
        </is>
      </c>
      <c r="C13" t="inlineStr">
        <is>
          <t>Rest, hydrate, visualise success</t>
        </is>
      </c>
      <c r="D13" t="inlineStr">
        <is>
          <t>Compete, breathe, execute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2025-08-25T12:52:21Z</dcterms:created>
  <dcterms:modified xmlns:dcterms="http://purl.org/dc/terms/" xmlns:xsi="http://www.w3.org/2001/XMLSchema-instance" xsi:type="dcterms:W3CDTF">2025-08-25T12:52:21Z</dcterms:modified>
</cp:coreProperties>
</file>